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org\OneDrive\Documents\GitHub\diploma\texts\tablici\"/>
    </mc:Choice>
  </mc:AlternateContent>
  <xr:revisionPtr revIDLastSave="0" documentId="13_ncr:1_{C909CCC8-AA1B-4ED4-89C1-097E45EA0E9F}" xr6:coauthVersionLast="47" xr6:coauthVersionMax="47" xr10:uidLastSave="{00000000-0000-0000-0000-000000000000}"/>
  <bookViews>
    <workbookView xWindow="-120" yWindow="-120" windowWidth="29040" windowHeight="15720" tabRatio="767" activeTab="16" xr2:uid="{00000000-000D-0000-FFFF-FFFF00000000}"/>
  </bookViews>
  <sheets>
    <sheet name="price vs. speed" sheetId="1" r:id="rId1"/>
    <sheet name="table1" sheetId="2" r:id="rId2"/>
    <sheet name="table2" sheetId="3" r:id="rId3"/>
    <sheet name="table3" sheetId="4" r:id="rId4"/>
    <sheet name="table4" sheetId="5" r:id="rId5"/>
    <sheet name="table5" sheetId="6" r:id="rId6"/>
    <sheet name="table6" sheetId="7" r:id="rId7"/>
    <sheet name="table7" sheetId="8" r:id="rId8"/>
    <sheet name="pril_b1" sheetId="9" r:id="rId9"/>
    <sheet name="pril_b2" sheetId="10" r:id="rId10"/>
    <sheet name="pril_b3" sheetId="11" r:id="rId11"/>
    <sheet name="pril_b4" sheetId="12" r:id="rId12"/>
    <sheet name="pril_v" sheetId="13" r:id="rId13"/>
    <sheet name="pril_g1" sheetId="14" r:id="rId14"/>
    <sheet name="pril_g2" sheetId="15" r:id="rId15"/>
    <sheet name="pril_g3" sheetId="16" r:id="rId16"/>
    <sheet name="izbor_nivo_iztrivane" sheetId="17" r:id="rId17"/>
  </sheets>
  <calcPr calcId="0"/>
</workbook>
</file>

<file path=xl/sharedStrings.xml><?xml version="1.0" encoding="utf-8"?>
<sst xmlns="http://schemas.openxmlformats.org/spreadsheetml/2006/main" count="357" uniqueCount="263">
  <si>
    <t>Year</t>
  </si>
  <si>
    <t>Storage Type</t>
  </si>
  <si>
    <t>Cost per GB ($)</t>
  </si>
  <si>
    <t>Transfer Speed (MB/s)</t>
  </si>
  <si>
    <t>Hard Disk Drive (5.25")</t>
  </si>
  <si>
    <t>Hard Disk Drive (3.5")</t>
  </si>
  <si>
    <t>Zip Drive</t>
  </si>
  <si>
    <t>Compact Flash</t>
  </si>
  <si>
    <t>USB 1.1 Flash Drive</t>
  </si>
  <si>
    <t>USB 2.0 Flash Drive</t>
  </si>
  <si>
    <t>1TB External HDD</t>
  </si>
  <si>
    <t>SATA III SSD</t>
  </si>
  <si>
    <t>USB 3.0 Flash Drive</t>
  </si>
  <si>
    <t>NVMe External SSD</t>
  </si>
  <si>
    <t>Thunderbolt 3 SSD</t>
  </si>
  <si>
    <t>USB4 / Thunderbolt 4</t>
  </si>
  <si>
    <t>Интерфейс</t>
  </si>
  <si>
    <t>Макс. теоретична скорост</t>
  </si>
  <si>
    <t>Типична латентност</t>
  </si>
  <si>
    <t>Типична употреба</t>
  </si>
  <si>
    <t>USB 2.0 (Hi-Speed)</t>
  </si>
  <si>
    <t>480 Mbit/s (~60 MB/s)</t>
  </si>
  <si>
    <t>Висока (ms)</t>
  </si>
  <si>
    <t>USB флаш памети, периферни устройства</t>
  </si>
  <si>
    <t>USB 3.0 (SuperSpeed)</t>
  </si>
  <si>
    <t>5 Gbit/s (~625 MB/s)</t>
  </si>
  <si>
    <t>Средна</t>
  </si>
  <si>
    <t>Външни HDD, USB флаш, уеб камери</t>
  </si>
  <si>
    <t>USB 3.1 Gen 2 (SuperSpeed+)</t>
  </si>
  <si>
    <t>10 Gbit/s (~1 250 MB/s)</t>
  </si>
  <si>
    <t>Средна-ниска</t>
  </si>
  <si>
    <t>Външни SSD, док станции</t>
  </si>
  <si>
    <t>SATA III</t>
  </si>
  <si>
    <t>6 Gbit/s (~600 MB/s)</t>
  </si>
  <si>
    <t>Средна (~100 µs)</t>
  </si>
  <si>
    <t>Вътрешни/външни SSD, 2.5" HDD (чрез USB мост)</t>
  </si>
  <si>
    <t>NVMe over PCIe (Gen 4/Gen 5)</t>
  </si>
  <si>
    <t>До 14 000 MB/s</t>
  </si>
  <si>
    <t>Много ниска (~10–20 µs)</t>
  </si>
  <si>
    <t>Високопроизводителни външни SSD</t>
  </si>
  <si>
    <t>Thunderbolt 3/4</t>
  </si>
  <si>
    <t>40 Gbit/s (~5 000 MB/s)</t>
  </si>
  <si>
    <t>Ниска</t>
  </si>
  <si>
    <t>Професионални външни масиви, видео продукция</t>
  </si>
  <si>
    <t>Характеристика</t>
  </si>
  <si>
    <t>USB Flash Drive</t>
  </si>
  <si>
    <t>Външен SSD</t>
  </si>
  <si>
    <t>Външен HDD</t>
  </si>
  <si>
    <t>SD карта</t>
  </si>
  <si>
    <t>CD/DVD</t>
  </si>
  <si>
    <t>Капацитет</t>
  </si>
  <si>
    <t>16 GB – 1 TB</t>
  </si>
  <si>
    <t>250 GB – 4 TB</t>
  </si>
  <si>
    <t>1 TB – 20 TB</t>
  </si>
  <si>
    <t>700 MB – 8.5 GB</t>
  </si>
  <si>
    <t>Скорост четене</t>
  </si>
  <si>
    <t>100–400 MB/s</t>
  </si>
  <si>
    <t>500–2000 MB/s</t>
  </si>
  <si>
    <t>80–160 MB/s</t>
  </si>
  <si>
    <t>90–300 MB/s</t>
  </si>
  <si>
    <t>1.2–22 MB/s</t>
  </si>
  <si>
    <t>Цена/GB</t>
  </si>
  <si>
    <t>0.05–0.15 €</t>
  </si>
  <si>
    <t>0.07–0.12 €</t>
  </si>
  <si>
    <t>0.02–0.04 €</t>
  </si>
  <si>
    <t>0.08–0.20 €</t>
  </si>
  <si>
    <t>0.01–0.03 €</t>
  </si>
  <si>
    <t>Мобилност</t>
  </si>
  <si>
    <t>Много висока</t>
  </si>
  <si>
    <t>Висока</t>
  </si>
  <si>
    <t>Надеждност</t>
  </si>
  <si>
    <t>Средна (5–10 г.)</t>
  </si>
  <si>
    <t>Висока (5–10 г.)</t>
  </si>
  <si>
    <t>Средна-висока (MTBF ~1M ч.)</t>
  </si>
  <si>
    <t>Висока (20–100 г.)</t>
  </si>
  <si>
    <t>Пренос файлове, bootable носители</t>
  </si>
  <si>
    <t>Видео/снимки, бързо архивиране</t>
  </si>
  <si>
    <t>Архивиране, NAS, backup</t>
  </si>
  <si>
    <t>Камери, смартфони, IoT</t>
  </si>
  <si>
    <t>Архивиране, дистрибуция</t>
  </si>
  <si>
    <t>№</t>
  </si>
  <si>
    <t>Риск</t>
  </si>
  <si>
    <t>Вероятност</t>
  </si>
  <si>
    <t>Въздействие</t>
  </si>
  <si>
    <t>Ниво на риска</t>
  </si>
  <si>
    <t>Заразяване със зловреден софтуер чрез USB</t>
  </si>
  <si>
    <t>Критично</t>
  </si>
  <si>
    <t>Много високо</t>
  </si>
  <si>
    <t>Кражба/загуба на некриптиран носител</t>
  </si>
  <si>
    <t>Рансъмуер атака чрез външен носител</t>
  </si>
  <si>
    <t>Висок</t>
  </si>
  <si>
    <t>Head crash при външен HDD (при транспорт)</t>
  </si>
  <si>
    <t>Високо</t>
  </si>
  <si>
    <t>Корупция на ФС при неправилно изваждане</t>
  </si>
  <si>
    <t>Средно</t>
  </si>
  <si>
    <t>BadUSB атака (модифициран фърмуер)</t>
  </si>
  <si>
    <t>Среден</t>
  </si>
  <si>
    <t>Износване на NAND клетки (SSD/USB)</t>
  </si>
  <si>
    <t>Нисък</t>
  </si>
  <si>
    <t>Деградация на оптичен носител (CD/DVD)</t>
  </si>
  <si>
    <t>Ниско</t>
  </si>
  <si>
    <t>BitLocker To Go</t>
  </si>
  <si>
    <t>VeraCrypt</t>
  </si>
  <si>
    <t>LUKS (dm-crypt)</t>
  </si>
  <si>
    <t>ОС поддръжка</t>
  </si>
  <si>
    <t>Windows (Pro/Ent.)</t>
  </si>
  <si>
    <t>Windows, Linux, macOS</t>
  </si>
  <si>
    <t>Linux</t>
  </si>
  <si>
    <t>Алгоритми</t>
  </si>
  <si>
    <t>AES-128/256 (XTS)</t>
  </si>
  <si>
    <t>AES, Serpent, Twofish, каскадни</t>
  </si>
  <si>
    <t>AES, Serpent, Twofish (XTS)</t>
  </si>
  <si>
    <t>Скрити томове</t>
  </si>
  <si>
    <t>Не</t>
  </si>
  <si>
    <t>Да</t>
  </si>
  <si>
    <t>Не (нативно)</t>
  </si>
  <si>
    <t>Централно управление</t>
  </si>
  <si>
    <t>Да (AD/GPO)</t>
  </si>
  <si>
    <t>Не (без допълн. инструменти)</t>
  </si>
  <si>
    <t>Лиценз</t>
  </si>
  <si>
    <t>Комерсиален</t>
  </si>
  <si>
    <t>Безплатен (FOSS)</t>
  </si>
  <si>
    <t>TPM интеграция</t>
  </si>
  <si>
    <t>Добра практика</t>
  </si>
  <si>
    <t>NIST CSF функция</t>
  </si>
  <si>
    <t>Поддържане на инвентарен регистър на всички преносими устройства с уникални идентификатори</t>
  </si>
  <si>
    <t>Identify (ID)</t>
  </si>
  <si>
    <t>Класификация на данните по ниво на чувствителност преди съхранение на преносим носител</t>
  </si>
  <si>
    <t>Криптиране на всички преносими устройства чрез AES-256 (BitLocker, VeraCrypt, LUKS)</t>
  </si>
  <si>
    <t>Protect (PR)</t>
  </si>
  <si>
    <t>Прилагане на Device Whitelisting – разрешаване само на одобрени устройства (по VID/PID/сериен №)</t>
  </si>
  <si>
    <t>Деактивиране на AutoRun/AutoPlay за всички сменяеми устройства в цялата организация</t>
  </si>
  <si>
    <t>Автоматично антивирусно сканиране при включване на преносим носител</t>
  </si>
  <si>
    <t>Detect (DE)</t>
  </si>
  <si>
    <t>Мониторинг на USB събития чрез SIEM с настроени правила за аномална активност</t>
  </si>
  <si>
    <t>Документирана процедура за реакция при инцидент с преносимо устройство</t>
  </si>
  <si>
    <t>Respond (RS)</t>
  </si>
  <si>
    <t>Прилагане на стратегия 3-2-1 за резервни копия с включване на поне един външен носител</t>
  </si>
  <si>
    <t>Recover (RC)</t>
  </si>
  <si>
    <t>Сигурно изтриване на данни (Clear/Purge/Destroy) преди излизане от употреба, съгласно NIST SP 800-88</t>
  </si>
  <si>
    <t>Решение</t>
  </si>
  <si>
    <t>Платформа</t>
  </si>
  <si>
    <t>Цена</t>
  </si>
  <si>
    <t>Ниво на защита</t>
  </si>
  <si>
    <t>Windows Pro/Ent</t>
  </si>
  <si>
    <t>Включена в ОС</t>
  </si>
  <si>
    <t>Win/Linux/macOS</t>
  </si>
  <si>
    <t>Безплатна (FOSS)</t>
  </si>
  <si>
    <t>GPO/MDM контрол</t>
  </si>
  <si>
    <t>Windows/Azure</t>
  </si>
  <si>
    <t>Включена/лиценз</t>
  </si>
  <si>
    <t>USB Whitelisting</t>
  </si>
  <si>
    <t>Windows/Linux</t>
  </si>
  <si>
    <t>Варира</t>
  </si>
  <si>
    <t>Средна–Висока</t>
  </si>
  <si>
    <t>Операция</t>
  </si>
  <si>
    <t>USB-Allowed (GRP_USB_Allowed)</t>
  </si>
  <si>
    <t>USB-Blocked (GRP_USB_Blocked)</t>
  </si>
  <si>
    <t>Четене от USB устройство</t>
  </si>
  <si>
    <t>Разрешено</t>
  </si>
  <si>
    <t>Запис върху USB устройство</t>
  </si>
  <si>
    <t>Разрешено (само при активиран BitLocker)</t>
  </si>
  <si>
    <t>Забранено (Deny write access)</t>
  </si>
  <si>
    <t>Криптиране с BitLocker To Go</t>
  </si>
  <si>
    <t>Задължително за запис</t>
  </si>
  <si>
    <t>Не е приложимо</t>
  </si>
  <si>
    <t>Одит (Event Log)</t>
  </si>
  <si>
    <t>Да – Event ID 4663 (успешен достъп)</t>
  </si>
  <si>
    <t>Да – Event ID 4663 (отказан достъп)</t>
  </si>
  <si>
    <t>Настройка</t>
  </si>
  <si>
    <t>Стойност</t>
  </si>
  <si>
    <t>Removable Disks: Deny write access</t>
  </si>
  <si>
    <t>Enabled</t>
  </si>
  <si>
    <t>Removable Disks: Deny read access</t>
  </si>
  <si>
    <t>Not Configured</t>
  </si>
  <si>
    <t>All Removable Storage classes: Deny all access</t>
  </si>
  <si>
    <t>CD and DVD: Deny write access</t>
  </si>
  <si>
    <t>Tape Drives: Deny write access</t>
  </si>
  <si>
    <t>Prevent installation of devices not described by other policy settings</t>
  </si>
  <si>
    <t>Allow installation of devices that match any of these Device Instance IDs</t>
  </si>
  <si>
    <t>Enabled (списък с одобрени ID)</t>
  </si>
  <si>
    <t>Prevent installation of devices using drivers that match these device setup classes</t>
  </si>
  <si>
    <t>Enabled {36FC9E60-C465-11CF-8056-444553540000} (USB Mass Storage)</t>
  </si>
  <si>
    <t>Deny write access to removable drives not protected by BitLocker</t>
  </si>
  <si>
    <t>Control use of BitLocker on removable drives</t>
  </si>
  <si>
    <t>→ Allow users to apply BitLocker protection: Checked</t>
  </si>
  <si>
    <t>→ Allow users to suspend and decrypt: Unchecked</t>
  </si>
  <si>
    <t>Choose how BitLocker-protected removable drives can be recovered</t>
  </si>
  <si>
    <t>→ Allow data recovery agent: Checked</t>
  </si>
  <si>
    <t>→ Save BitLocker recovery information to AD DS: Checked</t>
  </si>
  <si>
    <t>Audit Removable Storage</t>
  </si>
  <si>
    <t>Success, Failure</t>
  </si>
  <si>
    <t>Audit PNP Activity</t>
  </si>
  <si>
    <t>Success</t>
  </si>
  <si>
    <t>VID</t>
  </si>
  <si>
    <t>PID</t>
  </si>
  <si>
    <t>Сериен номер</t>
  </si>
  <si>
    <t>Производител</t>
  </si>
  <si>
    <t>Модел</t>
  </si>
  <si>
    <t>Потребител</t>
  </si>
  <si>
    <t>Отдел</t>
  </si>
  <si>
    <t>Дата на регистрация</t>
  </si>
  <si>
    <t>Статус</t>
  </si>
  <si>
    <t>4C53000121</t>
  </si>
  <si>
    <t>SanDisk</t>
  </si>
  <si>
    <t>Ultra Flair 64GB</t>
  </si>
  <si>
    <t>Иванов, П.</t>
  </si>
  <si>
    <t>ИТ</t>
  </si>
  <si>
    <t>15.01.2025</t>
  </si>
  <si>
    <t>Активен</t>
  </si>
  <si>
    <t>E0D55EA573</t>
  </si>
  <si>
    <t>Kingston</t>
  </si>
  <si>
    <t>DT100 G3 32GB</t>
  </si>
  <si>
    <t>Петрова, М.</t>
  </si>
  <si>
    <t>Счетов.</t>
  </si>
  <si>
    <t>22.02.2025</t>
  </si>
  <si>
    <t>AA00000489</t>
  </si>
  <si>
    <t>Transcend</t>
  </si>
  <si>
    <t>JetFlash 128GB</t>
  </si>
  <si>
    <t>Георгиев, Д.</t>
  </si>
  <si>
    <t>Маркет.</t>
  </si>
  <si>
    <t>10.03.2025</t>
  </si>
  <si>
    <t>Деактив.</t>
  </si>
  <si>
    <t>Стъпка</t>
  </si>
  <si>
    <t>Изпълнено</t>
  </si>
  <si>
    <t>Идентифициране на устройството (VID/PID/сериен номер)</t>
  </si>
  <si>
    <t>[   ]</t>
  </si>
  <si>
    <t>Резервно копие на необходимите данни (ако има такива)</t>
  </si>
  <si>
    <t xml:space="preserve">[   ] </t>
  </si>
  <si>
    <t>Презаписване с нули/единици/произволни стойности (минимум 1 пас)</t>
  </si>
  <si>
    <t>Верификация чрез четене на случайни блокове</t>
  </si>
  <si>
    <t>Документиране: устройство, метод, дата, отговорник</t>
  </si>
  <si>
    <t>Идентифициране на устройството и тип (HDD/SSD/NVMe)</t>
  </si>
  <si>
    <t>Изпълнение на Secure Erase / Cryptographic Erase:</t>
  </si>
  <si>
    <t>Верификация: четене на целия носител, потвърждаване на липса на възстановими данни</t>
  </si>
  <si>
    <t>Документиране: сертификат за изтриване с подпис</t>
  </si>
  <si>
    <t>Избор на метод за физическо унищожаване:</t>
  </si>
  <si>
    <t>Извършване на унищожаването от оторизиран персонал</t>
  </si>
  <si>
    <t>Визуална верификация: устройството е физически неразпознаваемо и неработоспособно</t>
  </si>
  <si>
    <t>Документиране: протокол за унищожаване с подпис на двама свидетели, снимков материал</t>
  </si>
  <si>
    <t>Актуализиране на инвентарния регистър (Приложение В) – статус „Унищожен"</t>
  </si>
  <si>
    <t>Критерий</t>
  </si>
  <si>
    <t>Clear</t>
  </si>
  <si>
    <t>Purge</t>
  </si>
  <si>
    <t>Destroy</t>
  </si>
  <si>
    <t>Клас на данните</t>
  </si>
  <si>
    <t>Нисък–среден</t>
  </si>
  <si>
    <t>Най-висок</t>
  </si>
  <si>
    <t>Носителят остава</t>
  </si>
  <si>
    <t>В организацията</t>
  </si>
  <si>
    <t>Напуска контрола</t>
  </si>
  <si>
    <t>Не – унищожен</t>
  </si>
  <si>
    <t>Време</t>
  </si>
  <si>
    <t>Минути–часове</t>
  </si>
  <si>
    <t>Минути</t>
  </si>
  <si>
    <t>Ниска–средна</t>
  </si>
  <si>
    <t>Средна–висока</t>
  </si>
  <si>
    <t>Гаранция</t>
  </si>
  <si>
    <t>Абсолютна</t>
  </si>
  <si>
    <t>Стандарт</t>
  </si>
  <si>
    <t>NIST SP 800-88 (Clear)</t>
  </si>
  <si>
    <t>NIST SP 800-88 (Purge)</t>
  </si>
  <si>
    <t>NIST SP 800-88 (Destroy)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</si>
</sst>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</cellXfs>
  <cellStyles count="1">
    <cellStyle name="Normal" xfId="0" builtinId="0"/>
  </cellStyles>
  <dxfs count="7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7">
    <tableStyle name="price vs. speed-style" pivot="0" count="4" xr9:uid="{00000000-0011-0000-FFFF-FFFF00000000}">
      <tableStyleElement type="wholeTable" size="0" dxfId="74"/>
      <tableStyleElement type="headerRow" dxfId="77"/>
      <tableStyleElement type="firstRowStripe" dxfId="76"/>
      <tableStyleElement type="secondRowStripe" dxfId="75"/>
    </tableStyle>
    <tableStyle name="table1-style" pivot="0" count="4" xr9:uid="{00000000-0011-0000-FFFF-FFFF01000000}">
      <tableStyleElement type="wholeTable" size="0" dxfId="70"/>
      <tableStyleElement type="headerRow" dxfId="73"/>
      <tableStyleElement type="firstRowStripe" dxfId="72"/>
      <tableStyleElement type="secondRowStripe" dxfId="71"/>
    </tableStyle>
    <tableStyle name="table2-style" pivot="0" count="4" xr9:uid="{00000000-0011-0000-FFFF-FFFF02000000}">
      <tableStyleElement type="wholeTable" size="0" dxfId="66"/>
      <tableStyleElement type="headerRow" dxfId="69"/>
      <tableStyleElement type="firstRowStripe" dxfId="68"/>
      <tableStyleElement type="secondRowStripe" dxfId="67"/>
    </tableStyle>
    <tableStyle name="table3-style" pivot="0" count="4" xr9:uid="{00000000-0011-0000-FFFF-FFFF03000000}">
      <tableStyleElement type="wholeTable" size="0" dxfId="62"/>
      <tableStyleElement type="headerRow" dxfId="65"/>
      <tableStyleElement type="firstRowStripe" dxfId="64"/>
      <tableStyleElement type="secondRowStripe" dxfId="63"/>
    </tableStyle>
    <tableStyle name="table4-style" pivot="0" count="4" xr9:uid="{00000000-0011-0000-FFFF-FFFF04000000}">
      <tableStyleElement type="wholeTable" size="0" dxfId="58"/>
      <tableStyleElement type="headerRow" dxfId="61"/>
      <tableStyleElement type="firstRowStripe" dxfId="60"/>
      <tableStyleElement type="secondRowStripe" dxfId="59"/>
    </tableStyle>
    <tableStyle name="table5-style" pivot="0" count="4" xr9:uid="{00000000-0011-0000-FFFF-FFFF05000000}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table6-style" pivot="0" count="4" xr9:uid="{00000000-0011-0000-FFFF-FFFF06000000}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table7-style" pivot="0" count="4" xr9:uid="{00000000-0011-0000-FFFF-FFFF07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pril_b1-style" pivot="0" count="4" xr9:uid="{00000000-0011-0000-FFFF-FFFF08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pril_b2-style" pivot="0" count="4" xr9:uid="{00000000-0011-0000-FFFF-FFFF09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pril_b3-style" pivot="0" count="4" xr9:uid="{00000000-0011-0000-FFFF-FFFF0A000000}">
      <tableStyleElement type="wholeTable" size="0" dxfId="34"/>
      <tableStyleElement type="headerRow" dxfId="37"/>
      <tableStyleElement type="firstRowStripe" dxfId="36"/>
      <tableStyleElement type="secondRowStripe" dxfId="35"/>
    </tableStyle>
    <tableStyle name="pril_b4-style" pivot="0" count="4" xr9:uid="{00000000-0011-0000-FFFF-FFFF0B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pril_v-style" pivot="0" count="4" xr9:uid="{00000000-0011-0000-FFFF-FFFF0C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pril_g1-style" pivot="0" count="4" xr9:uid="{00000000-0011-0000-FFFF-FFFF0D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pril_g2-style" pivot="0" count="4" xr9:uid="{00000000-0011-0000-FFFF-FFFF0E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pril_g3-style" pivot="0" count="4" xr9:uid="{00000000-0011-0000-FFFF-FFFF0F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izbor_nivo_iztrivane-style" pivot="0" count="4" xr9:uid="{00000000-0011-0000-FFFF-FFFF10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bg-BG" b="0">
                <a:solidFill>
                  <a:srgbClr val="757575"/>
                </a:solidFill>
                <a:latin typeface="+mn-lt"/>
              </a:rPr>
              <a:t>Цена </a:t>
            </a:r>
            <a:r>
              <a:rPr lang="en-US" b="0">
                <a:solidFill>
                  <a:srgbClr val="757575"/>
                </a:solidFill>
                <a:latin typeface="+mn-lt"/>
              </a:rPr>
              <a:t>vs. </a:t>
            </a:r>
            <a:r>
              <a:rPr lang="bg-BG" b="0">
                <a:solidFill>
                  <a:srgbClr val="757575"/>
                </a:solidFill>
                <a:latin typeface="+mn-lt"/>
              </a:rPr>
              <a:t>скорост  (1980-2024)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Цена за GB (USD)</c:v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'price vs. speed'!$A$1:$A$13</c:f>
              <c:strCache>
                <c:ptCount val="13"/>
                <c:pt idx="0">
                  <c:v>Year</c:v>
                </c:pt>
                <c:pt idx="1">
                  <c:v>1980</c:v>
                </c:pt>
                <c:pt idx="2">
                  <c:v>1987</c:v>
                </c:pt>
                <c:pt idx="3">
                  <c:v>1995</c:v>
                </c:pt>
                <c:pt idx="4">
                  <c:v>1998</c:v>
                </c:pt>
                <c:pt idx="5">
                  <c:v>2000</c:v>
                </c:pt>
                <c:pt idx="6">
                  <c:v>2004</c:v>
                </c:pt>
                <c:pt idx="7">
                  <c:v>2007</c:v>
                </c:pt>
                <c:pt idx="8">
                  <c:v>2010</c:v>
                </c:pt>
                <c:pt idx="9">
                  <c:v>2013</c:v>
                </c:pt>
                <c:pt idx="10">
                  <c:v>2016</c:v>
                </c:pt>
                <c:pt idx="11">
                  <c:v>2020</c:v>
                </c:pt>
                <c:pt idx="12">
                  <c:v>2024</c:v>
                </c:pt>
              </c:strCache>
            </c:strRef>
          </c:cat>
          <c:val>
            <c:numRef>
              <c:f>'price vs. speed'!$C$1:$C$13</c:f>
              <c:numCache>
                <c:formatCode>#,##0.00</c:formatCode>
                <c:ptCount val="13"/>
                <c:pt idx="0" formatCode="General">
                  <c:v>0</c:v>
                </c:pt>
                <c:pt idx="1">
                  <c:v>1000000</c:v>
                </c:pt>
                <c:pt idx="2">
                  <c:v>50000</c:v>
                </c:pt>
                <c:pt idx="3">
                  <c:v>2000</c:v>
                </c:pt>
                <c:pt idx="4" formatCode="General">
                  <c:v>400</c:v>
                </c:pt>
                <c:pt idx="5" formatCode="General">
                  <c:v>100</c:v>
                </c:pt>
                <c:pt idx="6" formatCode="#,##0">
                  <c:v>20</c:v>
                </c:pt>
                <c:pt idx="7" formatCode="#,##0">
                  <c:v>0.4</c:v>
                </c:pt>
                <c:pt idx="8" formatCode="General">
                  <c:v>2</c:v>
                </c:pt>
                <c:pt idx="9" formatCode="General">
                  <c:v>0.8</c:v>
                </c:pt>
                <c:pt idx="10" formatCode="General">
                  <c:v>0.35</c:v>
                </c:pt>
                <c:pt idx="11" formatCode="General">
                  <c:v>0.2</c:v>
                </c:pt>
                <c:pt idx="12" formatCode="General">
                  <c:v>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E4-46F2-B63A-52070385C773}"/>
            </c:ext>
          </c:extLst>
        </c:ser>
        <c:ser>
          <c:idx val="1"/>
          <c:order val="1"/>
          <c:tx>
            <c:v>Скорост на трансфер на данни (MB/s)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'price vs. speed'!$A$1:$A$13</c:f>
              <c:strCache>
                <c:ptCount val="13"/>
                <c:pt idx="0">
                  <c:v>Year</c:v>
                </c:pt>
                <c:pt idx="1">
                  <c:v>1980</c:v>
                </c:pt>
                <c:pt idx="2">
                  <c:v>1987</c:v>
                </c:pt>
                <c:pt idx="3">
                  <c:v>1995</c:v>
                </c:pt>
                <c:pt idx="4">
                  <c:v>1998</c:v>
                </c:pt>
                <c:pt idx="5">
                  <c:v>2000</c:v>
                </c:pt>
                <c:pt idx="6">
                  <c:v>2004</c:v>
                </c:pt>
                <c:pt idx="7">
                  <c:v>2007</c:v>
                </c:pt>
                <c:pt idx="8">
                  <c:v>2010</c:v>
                </c:pt>
                <c:pt idx="9">
                  <c:v>2013</c:v>
                </c:pt>
                <c:pt idx="10">
                  <c:v>2016</c:v>
                </c:pt>
                <c:pt idx="11">
                  <c:v>2020</c:v>
                </c:pt>
                <c:pt idx="12">
                  <c:v>2024</c:v>
                </c:pt>
              </c:strCache>
            </c:strRef>
          </c:cat>
          <c:val>
            <c:numRef>
              <c:f>'price vs. speed'!$D$1:$D$13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2</c:v>
                </c:pt>
                <c:pt idx="3">
                  <c:v>1.4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60</c:v>
                </c:pt>
                <c:pt idx="8">
                  <c:v>500</c:v>
                </c:pt>
                <c:pt idx="9">
                  <c:v>100</c:v>
                </c:pt>
                <c:pt idx="10">
                  <c:v>1000</c:v>
                </c:pt>
                <c:pt idx="11">
                  <c:v>2800</c:v>
                </c:pt>
                <c:pt idx="12">
                  <c:v>3500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E4-46F2-B63A-52070385C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19012"/>
        <c:axId val="1252182784"/>
      </c:lineChart>
      <c:catAx>
        <c:axId val="20431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bg-BG" b="0">
                    <a:solidFill>
                      <a:srgbClr val="000000"/>
                    </a:solidFill>
                    <a:latin typeface="+mn-lt"/>
                  </a:rPr>
                  <a:t>Година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2182784"/>
        <c:crosses val="autoZero"/>
        <c:auto val="1"/>
        <c:lblAlgn val="ctr"/>
        <c:lblOffset val="100"/>
        <c:noMultiLvlLbl val="1"/>
      </c:catAx>
      <c:valAx>
        <c:axId val="1252182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bg-BG" b="0">
                    <a:solidFill>
                      <a:srgbClr val="000000"/>
                    </a:solidFill>
                    <a:latin typeface="+mn-lt"/>
                  </a:rPr>
                  <a:t>Разход за 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GB 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3190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314325</xdr:colOff>
      <xdr:row>1</xdr:row>
      <xdr:rowOff>47625</xdr:rowOff>
    </xdr:from>
    <xdr:ext cx="5715000" cy="31718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D13">
  <tableColumns count="4">
    <tableColumn id="1" xr3:uid="{00000000-0010-0000-0000-000001000000}" name="Year"/>
    <tableColumn id="2" xr3:uid="{00000000-0010-0000-0000-000002000000}" name="Storage Type"/>
    <tableColumn id="3" xr3:uid="{00000000-0010-0000-0000-000003000000}" name="Cost per GB ($)"/>
    <tableColumn id="4" xr3:uid="{00000000-0010-0000-0000-000004000000}" name="Transfer Speed (MB/s)"/>
  </tableColumns>
  <tableStyleInfo name="price vs. spe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D7" dataDxfId="5">
  <tableColumns count="4">
    <tableColumn id="1" xr3:uid="{00000000-0010-0000-0100-000001000000}" name="Интерфейс" dataDxfId="9"/>
    <tableColumn id="2" xr3:uid="{00000000-0010-0000-0100-000002000000}" name="Макс. теоретична скорост" dataDxfId="8"/>
    <tableColumn id="3" xr3:uid="{00000000-0010-0000-0100-000003000000}" name="Типична латентност" dataDxfId="7"/>
    <tableColumn id="4" xr3:uid="{00000000-0010-0000-0100-000004000000}" name="Типична употреба" dataDxfId="6"/>
  </tableColumns>
  <tableStyleInfo name="table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F7">
  <tableColumns count="6">
    <tableColumn id="1" xr3:uid="{00000000-0010-0000-0200-000001000000}" name="Характеристика"/>
    <tableColumn id="2" xr3:uid="{00000000-0010-0000-0200-000002000000}" name="USB Flash Drive"/>
    <tableColumn id="3" xr3:uid="{00000000-0010-0000-0200-000003000000}" name="Външен SSD"/>
    <tableColumn id="4" xr3:uid="{00000000-0010-0000-0200-000004000000}" name="Външен HDD"/>
    <tableColumn id="5" xr3:uid="{00000000-0010-0000-0200-000005000000}" name="SD карта"/>
    <tableColumn id="6" xr3:uid="{00000000-0010-0000-0200-000006000000}" name="CD/DVD"/>
  </tableColumns>
  <tableStyleInfo name="table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E9">
  <tableColumns count="5">
    <tableColumn id="1" xr3:uid="{00000000-0010-0000-0300-000001000000}" name="№"/>
    <tableColumn id="2" xr3:uid="{00000000-0010-0000-0300-000002000000}" name="Риск"/>
    <tableColumn id="3" xr3:uid="{00000000-0010-0000-0300-000003000000}" name="Вероятност"/>
    <tableColumn id="4" xr3:uid="{00000000-0010-0000-0300-000004000000}" name="Въздействие"/>
    <tableColumn id="5" xr3:uid="{00000000-0010-0000-0300-000005000000}" name="Ниво на риска"/>
  </tableColumns>
  <tableStyleInfo name="table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1:D7">
  <tableColumns count="4">
    <tableColumn id="1" xr3:uid="{00000000-0010-0000-0400-000001000000}" name="Характеристика"/>
    <tableColumn id="2" xr3:uid="{00000000-0010-0000-0400-000002000000}" name="BitLocker To Go"/>
    <tableColumn id="3" xr3:uid="{00000000-0010-0000-0400-000003000000}" name="VeraCrypt"/>
    <tableColumn id="4" xr3:uid="{00000000-0010-0000-0400-000004000000}" name="LUKS (dm-crypt)"/>
  </tableColumns>
  <tableStyleInfo name="table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C11">
  <tableColumns count="3">
    <tableColumn id="1" xr3:uid="{00000000-0010-0000-0500-000001000000}" name="№"/>
    <tableColumn id="2" xr3:uid="{00000000-0010-0000-0500-000002000000}" name="Добра практика"/>
    <tableColumn id="3" xr3:uid="{00000000-0010-0000-0500-000003000000}" name="NIST CSF функция"/>
  </tableColumns>
  <tableStyleInfo name="table5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E6">
  <tableColumns count="5">
    <tableColumn id="1" xr3:uid="{00000000-0010-0000-0600-000001000000}" name="Решение"/>
    <tableColumn id="2" xr3:uid="{00000000-0010-0000-0600-000002000000}" name="Платформа"/>
    <tableColumn id="3" xr3:uid="{00000000-0010-0000-0600-000003000000}" name="Централно управление"/>
    <tableColumn id="4" xr3:uid="{00000000-0010-0000-0600-000004000000}" name="Цена"/>
    <tableColumn id="5" xr3:uid="{00000000-0010-0000-0600-000005000000}" name="Ниво на защита"/>
  </tableColumns>
  <tableStyleInfo name="table6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C5">
  <tableColumns count="3">
    <tableColumn id="1" xr3:uid="{00000000-0010-0000-0700-000001000000}" name="Операция"/>
    <tableColumn id="2" xr3:uid="{00000000-0010-0000-0700-000002000000}" name="USB-Allowed (GRP_USB_Allowed)"/>
    <tableColumn id="3" xr3:uid="{00000000-0010-0000-0700-000003000000}" name="USB-Blocked (GRP_USB_Blocked)"/>
  </tableColumns>
  <tableStyleInfo name="table7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B6">
  <tableColumns count="2">
    <tableColumn id="1" xr3:uid="{00000000-0010-0000-0800-000001000000}" name="Настройка"/>
    <tableColumn id="2" xr3:uid="{00000000-0010-0000-0800-000002000000}" name="Стойност"/>
  </tableColumns>
  <tableStyleInfo name="pril_b1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B4">
  <tableColumns count="2">
    <tableColumn id="1" xr3:uid="{00000000-0010-0000-0900-000001000000}" name="Настройка"/>
    <tableColumn id="2" xr3:uid="{00000000-0010-0000-0900-000002000000}" name="Стойност"/>
  </tableColumns>
  <tableStyleInfo name="pril_b2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B8">
  <tableColumns count="2">
    <tableColumn id="1" xr3:uid="{00000000-0010-0000-0A00-000001000000}" name="Настройка"/>
    <tableColumn id="2" xr3:uid="{00000000-0010-0000-0A00-000002000000}" name="Стойност"/>
  </tableColumns>
  <tableStyleInfo name="pril_b3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B3">
  <tableColumns count="2">
    <tableColumn id="1" xr3:uid="{00000000-0010-0000-0B00-000001000000}" name="Настройка"/>
    <tableColumn id="2" xr3:uid="{00000000-0010-0000-0B00-000002000000}" name="Стойност"/>
  </tableColumns>
  <tableStyleInfo name="pril_b4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J5">
  <tableColumns count="10">
    <tableColumn id="1" xr3:uid="{00000000-0010-0000-0C00-000001000000}" name="№"/>
    <tableColumn id="2" xr3:uid="{00000000-0010-0000-0C00-000002000000}" name="VID"/>
    <tableColumn id="3" xr3:uid="{00000000-0010-0000-0C00-000003000000}" name="PID"/>
    <tableColumn id="4" xr3:uid="{00000000-0010-0000-0C00-000004000000}" name="Сериен номер"/>
    <tableColumn id="5" xr3:uid="{00000000-0010-0000-0C00-000005000000}" name="Производител"/>
    <tableColumn id="6" xr3:uid="{00000000-0010-0000-0C00-000006000000}" name="Модел"/>
    <tableColumn id="7" xr3:uid="{00000000-0010-0000-0C00-000007000000}" name="Потребител"/>
    <tableColumn id="8" xr3:uid="{00000000-0010-0000-0C00-000008000000}" name="Отдел"/>
    <tableColumn id="9" xr3:uid="{00000000-0010-0000-0C00-000009000000}" name="Дата на регистрация"/>
    <tableColumn id="10" xr3:uid="{00000000-0010-0000-0C00-00000A000000}" name="Статус"/>
  </tableColumns>
  <tableStyleInfo name="pril_v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C6">
  <tableColumns count="3">
    <tableColumn id="1" xr3:uid="{00000000-0010-0000-0D00-000001000000}" name="№"/>
    <tableColumn id="2" xr3:uid="{00000000-0010-0000-0D00-000002000000}" name="Стъпка"/>
    <tableColumn id="3" xr3:uid="{00000000-0010-0000-0D00-000003000000}" name="Изпълнено"/>
  </tableColumns>
  <tableStyleInfo name="pril_g1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C6">
  <tableColumns count="3">
    <tableColumn id="1" xr3:uid="{00000000-0010-0000-0E00-000001000000}" name="№"/>
    <tableColumn id="2" xr3:uid="{00000000-0010-0000-0E00-000002000000}" name="Стъпка"/>
    <tableColumn id="3" xr3:uid="{00000000-0010-0000-0E00-000003000000}" name="Изпълнено"/>
  </tableColumns>
  <tableStyleInfo name="pril_g2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:C7">
  <tableColumns count="3">
    <tableColumn id="1" xr3:uid="{00000000-0010-0000-0F00-000001000000}" name="№"/>
    <tableColumn id="2" xr3:uid="{00000000-0010-0000-0F00-000002000000}" name="Стъпка"/>
    <tableColumn id="3" xr3:uid="{00000000-0010-0000-0F00-000003000000}" name="Изпълнено"/>
  </tableColumns>
  <tableStyleInfo name="pril_g3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:D7" dataDxfId="0">
  <tableColumns count="4">
    <tableColumn id="1" xr3:uid="{00000000-0010-0000-1000-000001000000}" name="Критерий" dataDxfId="4"/>
    <tableColumn id="2" xr3:uid="{00000000-0010-0000-1000-000002000000}" name="Clear" dataDxfId="3"/>
    <tableColumn id="3" xr3:uid="{00000000-0010-0000-1000-000003000000}" name="Purge" dataDxfId="2"/>
    <tableColumn id="4" xr3:uid="{00000000-0010-0000-1000-000004000000}" name="Destroy" dataDxfId="1"/>
  </tableColumns>
  <tableStyleInfo name="izbor_nivo_iztrivan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workbookViewId="0">
      <pane ySplit="1" topLeftCell="A2" activePane="bottomLeft" state="frozen"/>
      <selection pane="bottomLeft" activeCell="H23" sqref="H23"/>
    </sheetView>
  </sheetViews>
  <sheetFormatPr defaultColWidth="12.5703125" defaultRowHeight="15.75" customHeight="1" x14ac:dyDescent="0.2"/>
  <cols>
    <col min="2" max="2" width="19.42578125" customWidth="1"/>
    <col min="3" max="3" width="14.42578125" customWidth="1"/>
    <col min="4" max="4" width="15.14062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22.5" customHeight="1" x14ac:dyDescent="0.2">
      <c r="A2" s="3">
        <v>1980</v>
      </c>
      <c r="B2" s="4" t="s">
        <v>4</v>
      </c>
      <c r="C2" s="5">
        <v>1000000</v>
      </c>
      <c r="D2" s="3">
        <v>0.5</v>
      </c>
      <c r="E2" s="6"/>
    </row>
    <row r="3" spans="1:5" ht="22.5" customHeight="1" x14ac:dyDescent="0.2">
      <c r="A3" s="3">
        <v>1987</v>
      </c>
      <c r="B3" s="4" t="s">
        <v>5</v>
      </c>
      <c r="C3" s="5">
        <v>50000</v>
      </c>
      <c r="D3" s="3">
        <v>2</v>
      </c>
      <c r="E3" s="6"/>
    </row>
    <row r="4" spans="1:5" ht="22.5" customHeight="1" x14ac:dyDescent="0.2">
      <c r="A4" s="3">
        <v>1995</v>
      </c>
      <c r="B4" s="4" t="s">
        <v>6</v>
      </c>
      <c r="C4" s="5">
        <v>2000</v>
      </c>
      <c r="D4" s="3">
        <v>1.4</v>
      </c>
      <c r="E4" s="6"/>
    </row>
    <row r="5" spans="1:5" ht="22.5" customHeight="1" x14ac:dyDescent="0.2">
      <c r="A5" s="3">
        <v>1998</v>
      </c>
      <c r="B5" s="4" t="s">
        <v>7</v>
      </c>
      <c r="C5" s="4">
        <v>400</v>
      </c>
      <c r="D5" s="3">
        <v>4</v>
      </c>
      <c r="E5" s="6"/>
    </row>
    <row r="6" spans="1:5" ht="22.5" customHeight="1" x14ac:dyDescent="0.2">
      <c r="A6" s="3">
        <v>2000</v>
      </c>
      <c r="B6" s="4" t="s">
        <v>8</v>
      </c>
      <c r="C6" s="4">
        <v>100</v>
      </c>
      <c r="D6" s="3">
        <v>1</v>
      </c>
      <c r="E6" s="6"/>
    </row>
    <row r="7" spans="1:5" ht="22.5" customHeight="1" x14ac:dyDescent="0.2">
      <c r="A7" s="3">
        <v>2004</v>
      </c>
      <c r="B7" s="4" t="s">
        <v>9</v>
      </c>
      <c r="C7" s="7">
        <v>20</v>
      </c>
      <c r="D7" s="3">
        <v>30</v>
      </c>
      <c r="E7" s="6"/>
    </row>
    <row r="8" spans="1:5" ht="22.5" customHeight="1" x14ac:dyDescent="0.2">
      <c r="A8" s="3">
        <v>2007</v>
      </c>
      <c r="B8" s="4" t="s">
        <v>10</v>
      </c>
      <c r="C8" s="7">
        <v>0.4</v>
      </c>
      <c r="D8" s="3">
        <v>60</v>
      </c>
      <c r="E8" s="6"/>
    </row>
    <row r="9" spans="1:5" ht="22.5" customHeight="1" x14ac:dyDescent="0.2">
      <c r="A9" s="3">
        <v>2010</v>
      </c>
      <c r="B9" s="4" t="s">
        <v>11</v>
      </c>
      <c r="C9" s="4">
        <v>2</v>
      </c>
      <c r="D9" s="3">
        <v>500</v>
      </c>
    </row>
    <row r="10" spans="1:5" ht="22.5" customHeight="1" x14ac:dyDescent="0.2">
      <c r="A10" s="3">
        <v>2013</v>
      </c>
      <c r="B10" s="4" t="s">
        <v>12</v>
      </c>
      <c r="C10" s="4">
        <v>0.8</v>
      </c>
      <c r="D10" s="3">
        <v>100</v>
      </c>
    </row>
    <row r="11" spans="1:5" ht="22.5" customHeight="1" x14ac:dyDescent="0.2">
      <c r="A11" s="3">
        <v>2016</v>
      </c>
      <c r="B11" s="4" t="s">
        <v>13</v>
      </c>
      <c r="C11" s="4">
        <v>0.35</v>
      </c>
      <c r="D11" s="3">
        <v>1000</v>
      </c>
    </row>
    <row r="12" spans="1:5" ht="22.5" customHeight="1" x14ac:dyDescent="0.2">
      <c r="A12" s="3">
        <v>2020</v>
      </c>
      <c r="B12" s="4" t="s">
        <v>14</v>
      </c>
      <c r="C12" s="4">
        <v>0.2</v>
      </c>
      <c r="D12" s="3">
        <v>2800</v>
      </c>
    </row>
    <row r="13" spans="1:5" ht="22.5" customHeight="1" x14ac:dyDescent="0.2">
      <c r="A13" s="3">
        <v>2024</v>
      </c>
      <c r="B13" s="4" t="s">
        <v>15</v>
      </c>
      <c r="C13" s="4">
        <v>0.08</v>
      </c>
      <c r="D13" s="3">
        <v>3500</v>
      </c>
    </row>
  </sheetData>
  <dataValidations count="1">
    <dataValidation type="custom" allowBlank="1" showDropDown="1" sqref="A2:A13 D2:D13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>
      <pane ySplit="1" topLeftCell="A2" activePane="bottomLeft" state="frozen"/>
      <selection pane="bottomLeft" activeCell="B15" sqref="B15"/>
    </sheetView>
  </sheetViews>
  <sheetFormatPr defaultColWidth="12.5703125" defaultRowHeight="15.75" customHeight="1" x14ac:dyDescent="0.2"/>
  <cols>
    <col min="1" max="1" width="17.5703125" customWidth="1"/>
    <col min="2" max="2" width="27.28515625" customWidth="1"/>
    <col min="3" max="3" width="16.42578125" customWidth="1"/>
    <col min="4" max="4" width="24.140625" customWidth="1"/>
  </cols>
  <sheetData>
    <row r="1" spans="1:4" ht="22.5" customHeight="1" x14ac:dyDescent="0.2">
      <c r="A1" s="8" t="s">
        <v>16</v>
      </c>
      <c r="B1" s="8" t="s">
        <v>17</v>
      </c>
      <c r="C1" s="8" t="s">
        <v>18</v>
      </c>
      <c r="D1" s="8" t="s">
        <v>19</v>
      </c>
    </row>
    <row r="2" spans="1:4" ht="22.5" customHeight="1" x14ac:dyDescent="0.2">
      <c r="A2" s="9" t="s">
        <v>20</v>
      </c>
      <c r="B2" s="9" t="s">
        <v>21</v>
      </c>
      <c r="C2" s="9" t="s">
        <v>22</v>
      </c>
      <c r="D2" s="9" t="s">
        <v>23</v>
      </c>
    </row>
    <row r="3" spans="1:4" ht="22.5" customHeight="1" x14ac:dyDescent="0.2">
      <c r="A3" s="9" t="s">
        <v>24</v>
      </c>
      <c r="B3" s="9" t="s">
        <v>25</v>
      </c>
      <c r="C3" s="9" t="s">
        <v>26</v>
      </c>
      <c r="D3" s="9" t="s">
        <v>27</v>
      </c>
    </row>
    <row r="4" spans="1:4" ht="22.5" customHeight="1" x14ac:dyDescent="0.2">
      <c r="A4" s="9" t="s">
        <v>28</v>
      </c>
      <c r="B4" s="9" t="s">
        <v>29</v>
      </c>
      <c r="C4" s="9" t="s">
        <v>30</v>
      </c>
      <c r="D4" s="9" t="s">
        <v>31</v>
      </c>
    </row>
    <row r="5" spans="1:4" ht="22.5" customHeight="1" x14ac:dyDescent="0.2">
      <c r="A5" s="9" t="s">
        <v>32</v>
      </c>
      <c r="B5" s="9" t="s">
        <v>33</v>
      </c>
      <c r="C5" s="9" t="s">
        <v>34</v>
      </c>
      <c r="D5" s="9" t="s">
        <v>35</v>
      </c>
    </row>
    <row r="6" spans="1:4" ht="22.5" customHeight="1" x14ac:dyDescent="0.2">
      <c r="A6" s="9" t="s">
        <v>36</v>
      </c>
      <c r="B6" s="9" t="s">
        <v>37</v>
      </c>
      <c r="C6" s="9" t="s">
        <v>38</v>
      </c>
      <c r="D6" s="9" t="s">
        <v>39</v>
      </c>
    </row>
    <row r="7" spans="1:4" ht="22.5" customHeight="1" x14ac:dyDescent="0.2">
      <c r="A7" s="9" t="s">
        <v>40</v>
      </c>
      <c r="B7" s="9" t="s">
        <v>41</v>
      </c>
      <c r="C7" s="9" t="s">
        <v>42</v>
      </c>
      <c r="D7" s="9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"/>
  <sheetViews>
    <sheetView workbookViewId="0">
      <pane ySplit="1" topLeftCell="A2" activePane="bottomLeft" state="frozen"/>
      <selection pane="bottomLeft" activeCell="D4" sqref="D4"/>
    </sheetView>
  </sheetViews>
  <sheetFormatPr defaultColWidth="12.5703125" defaultRowHeight="15.75" customHeight="1" x14ac:dyDescent="0.2"/>
  <cols>
    <col min="1" max="1" width="18.7109375" customWidth="1"/>
    <col min="2" max="2" width="17.28515625" customWidth="1"/>
    <col min="3" max="3" width="15.85546875" customWidth="1"/>
    <col min="4" max="4" width="15.5703125" customWidth="1"/>
    <col min="5" max="5" width="15.140625" customWidth="1"/>
    <col min="6" max="6" width="14" customWidth="1"/>
  </cols>
  <sheetData>
    <row r="1" spans="1:6" ht="22.5" customHeight="1" x14ac:dyDescent="0.2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</row>
    <row r="2" spans="1:6" ht="22.5" customHeight="1" x14ac:dyDescent="0.2">
      <c r="A2" s="11" t="s">
        <v>50</v>
      </c>
      <c r="B2" s="11" t="s">
        <v>51</v>
      </c>
      <c r="C2" s="11" t="s">
        <v>52</v>
      </c>
      <c r="D2" s="11" t="s">
        <v>53</v>
      </c>
      <c r="E2" s="11" t="s">
        <v>51</v>
      </c>
      <c r="F2" s="11" t="s">
        <v>54</v>
      </c>
    </row>
    <row r="3" spans="1:6" ht="22.5" customHeight="1" x14ac:dyDescent="0.2">
      <c r="A3" s="11" t="s">
        <v>55</v>
      </c>
      <c r="B3" s="11" t="s">
        <v>56</v>
      </c>
      <c r="C3" s="11" t="s">
        <v>57</v>
      </c>
      <c r="D3" s="11" t="s">
        <v>58</v>
      </c>
      <c r="E3" s="11" t="s">
        <v>59</v>
      </c>
      <c r="F3" s="11" t="s">
        <v>60</v>
      </c>
    </row>
    <row r="4" spans="1:6" ht="22.5" customHeight="1" x14ac:dyDescent="0.2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65</v>
      </c>
      <c r="F4" s="11" t="s">
        <v>66</v>
      </c>
    </row>
    <row r="5" spans="1:6" ht="22.5" customHeight="1" x14ac:dyDescent="0.2">
      <c r="A5" s="11" t="s">
        <v>67</v>
      </c>
      <c r="B5" s="11" t="s">
        <v>68</v>
      </c>
      <c r="C5" s="11" t="s">
        <v>69</v>
      </c>
      <c r="D5" s="11" t="s">
        <v>26</v>
      </c>
      <c r="E5" s="11" t="s">
        <v>68</v>
      </c>
      <c r="F5" s="11" t="s">
        <v>42</v>
      </c>
    </row>
    <row r="6" spans="1:6" ht="22.5" customHeight="1" x14ac:dyDescent="0.2">
      <c r="A6" s="11" t="s">
        <v>70</v>
      </c>
      <c r="B6" s="11" t="s">
        <v>71</v>
      </c>
      <c r="C6" s="11" t="s">
        <v>72</v>
      </c>
      <c r="D6" s="11" t="s">
        <v>73</v>
      </c>
      <c r="E6" s="11" t="s">
        <v>71</v>
      </c>
      <c r="F6" s="11" t="s">
        <v>74</v>
      </c>
    </row>
    <row r="7" spans="1:6" ht="22.5" customHeight="1" x14ac:dyDescent="0.2">
      <c r="A7" s="11" t="s">
        <v>19</v>
      </c>
      <c r="B7" s="11" t="s">
        <v>75</v>
      </c>
      <c r="C7" s="11" t="s">
        <v>76</v>
      </c>
      <c r="D7" s="11" t="s">
        <v>77</v>
      </c>
      <c r="E7" s="11" t="s">
        <v>78</v>
      </c>
      <c r="F7" s="11" t="s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4.28515625" customWidth="1"/>
    <col min="2" max="2" width="27" customWidth="1"/>
    <col min="3" max="3" width="16" customWidth="1"/>
    <col min="4" max="4" width="17" customWidth="1"/>
  </cols>
  <sheetData>
    <row r="1" spans="1:5" ht="22.5" customHeight="1" x14ac:dyDescent="0.2">
      <c r="A1" s="10" t="s">
        <v>80</v>
      </c>
      <c r="B1" s="10" t="s">
        <v>81</v>
      </c>
      <c r="C1" s="10" t="s">
        <v>82</v>
      </c>
      <c r="D1" s="10" t="s">
        <v>83</v>
      </c>
      <c r="E1" s="10" t="s">
        <v>84</v>
      </c>
    </row>
    <row r="2" spans="1:5" ht="22.5" customHeight="1" x14ac:dyDescent="0.2">
      <c r="A2" s="11">
        <v>1</v>
      </c>
      <c r="B2" s="11" t="s">
        <v>85</v>
      </c>
      <c r="C2" s="11" t="s">
        <v>69</v>
      </c>
      <c r="D2" s="11" t="s">
        <v>86</v>
      </c>
      <c r="E2" s="11" t="s">
        <v>87</v>
      </c>
    </row>
    <row r="3" spans="1:5" ht="22.5" customHeight="1" x14ac:dyDescent="0.2">
      <c r="A3" s="11">
        <v>2</v>
      </c>
      <c r="B3" s="11" t="s">
        <v>88</v>
      </c>
      <c r="C3" s="11" t="s">
        <v>69</v>
      </c>
      <c r="D3" s="11" t="s">
        <v>86</v>
      </c>
      <c r="E3" s="11" t="s">
        <v>87</v>
      </c>
    </row>
    <row r="4" spans="1:5" ht="22.5" customHeight="1" x14ac:dyDescent="0.2">
      <c r="A4" s="11">
        <v>3</v>
      </c>
      <c r="B4" s="11" t="s">
        <v>89</v>
      </c>
      <c r="C4" s="11" t="s">
        <v>26</v>
      </c>
      <c r="D4" s="11" t="s">
        <v>86</v>
      </c>
      <c r="E4" s="11" t="s">
        <v>90</v>
      </c>
    </row>
    <row r="5" spans="1:5" ht="22.5" customHeight="1" x14ac:dyDescent="0.2">
      <c r="A5" s="11">
        <v>4</v>
      </c>
      <c r="B5" s="11" t="s">
        <v>91</v>
      </c>
      <c r="C5" s="11" t="s">
        <v>26</v>
      </c>
      <c r="D5" s="11" t="s">
        <v>92</v>
      </c>
      <c r="E5" s="11" t="s">
        <v>90</v>
      </c>
    </row>
    <row r="6" spans="1:5" ht="22.5" customHeight="1" x14ac:dyDescent="0.2">
      <c r="A6" s="11">
        <v>5</v>
      </c>
      <c r="B6" s="11" t="s">
        <v>93</v>
      </c>
      <c r="C6" s="11" t="s">
        <v>69</v>
      </c>
      <c r="D6" s="11" t="s">
        <v>94</v>
      </c>
      <c r="E6" s="11" t="s">
        <v>90</v>
      </c>
    </row>
    <row r="7" spans="1:5" ht="22.5" customHeight="1" x14ac:dyDescent="0.2">
      <c r="A7" s="11">
        <v>6</v>
      </c>
      <c r="B7" s="11" t="s">
        <v>95</v>
      </c>
      <c r="C7" s="11" t="s">
        <v>42</v>
      </c>
      <c r="D7" s="11" t="s">
        <v>86</v>
      </c>
      <c r="E7" s="11" t="s">
        <v>96</v>
      </c>
    </row>
    <row r="8" spans="1:5" ht="22.5" customHeight="1" x14ac:dyDescent="0.2">
      <c r="A8" s="11">
        <v>7</v>
      </c>
      <c r="B8" s="11" t="s">
        <v>97</v>
      </c>
      <c r="C8" s="11" t="s">
        <v>42</v>
      </c>
      <c r="D8" s="11" t="s">
        <v>94</v>
      </c>
      <c r="E8" s="11" t="s">
        <v>98</v>
      </c>
    </row>
    <row r="9" spans="1:5" ht="22.5" customHeight="1" x14ac:dyDescent="0.2">
      <c r="A9" s="11">
        <v>8</v>
      </c>
      <c r="B9" s="11" t="s">
        <v>99</v>
      </c>
      <c r="C9" s="11" t="s">
        <v>26</v>
      </c>
      <c r="D9" s="11" t="s">
        <v>100</v>
      </c>
      <c r="E9" s="11" t="s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5703125" customWidth="1"/>
    <col min="2" max="2" width="13.140625" customWidth="1"/>
    <col min="3" max="4" width="17.5703125" customWidth="1"/>
  </cols>
  <sheetData>
    <row r="1" spans="1:4" ht="22.5" customHeight="1" x14ac:dyDescent="0.2">
      <c r="A1" s="10" t="s">
        <v>44</v>
      </c>
      <c r="B1" s="10" t="s">
        <v>101</v>
      </c>
      <c r="C1" s="10" t="s">
        <v>102</v>
      </c>
      <c r="D1" s="10" t="s">
        <v>103</v>
      </c>
    </row>
    <row r="2" spans="1:4" ht="22.5" customHeight="1" x14ac:dyDescent="0.2">
      <c r="A2" s="11" t="s">
        <v>104</v>
      </c>
      <c r="B2" s="11" t="s">
        <v>105</v>
      </c>
      <c r="C2" s="11" t="s">
        <v>106</v>
      </c>
      <c r="D2" s="11" t="s">
        <v>107</v>
      </c>
    </row>
    <row r="3" spans="1:4" ht="22.5" customHeight="1" x14ac:dyDescent="0.2">
      <c r="A3" s="11" t="s">
        <v>108</v>
      </c>
      <c r="B3" s="11" t="s">
        <v>109</v>
      </c>
      <c r="C3" s="11" t="s">
        <v>110</v>
      </c>
      <c r="D3" s="11" t="s">
        <v>111</v>
      </c>
    </row>
    <row r="4" spans="1:4" ht="22.5" customHeight="1" x14ac:dyDescent="0.2">
      <c r="A4" s="11" t="s">
        <v>112</v>
      </c>
      <c r="B4" s="11" t="s">
        <v>113</v>
      </c>
      <c r="C4" s="11" t="s">
        <v>114</v>
      </c>
      <c r="D4" s="11" t="s">
        <v>115</v>
      </c>
    </row>
    <row r="5" spans="1:4" ht="22.5" customHeight="1" x14ac:dyDescent="0.2">
      <c r="A5" s="11" t="s">
        <v>116</v>
      </c>
      <c r="B5" s="11" t="s">
        <v>117</v>
      </c>
      <c r="C5" s="11" t="s">
        <v>113</v>
      </c>
      <c r="D5" s="11" t="s">
        <v>118</v>
      </c>
    </row>
    <row r="6" spans="1:4" ht="22.5" customHeight="1" x14ac:dyDescent="0.2">
      <c r="A6" s="11" t="s">
        <v>119</v>
      </c>
      <c r="B6" s="11" t="s">
        <v>120</v>
      </c>
      <c r="C6" s="11" t="s">
        <v>121</v>
      </c>
      <c r="D6" s="11" t="s">
        <v>121</v>
      </c>
    </row>
    <row r="7" spans="1:4" ht="22.5" customHeight="1" x14ac:dyDescent="0.2">
      <c r="A7" s="11" t="s">
        <v>122</v>
      </c>
      <c r="B7" s="11" t="s">
        <v>114</v>
      </c>
      <c r="C7" s="11" t="s">
        <v>113</v>
      </c>
      <c r="D7" s="11" t="s">
        <v>113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5.7109375" customWidth="1"/>
    <col min="2" max="2" width="37.5703125" customWidth="1"/>
    <col min="3" max="3" width="19.5703125" customWidth="1"/>
  </cols>
  <sheetData>
    <row r="1" spans="1:26" ht="22.5" customHeight="1" x14ac:dyDescent="0.2">
      <c r="A1" s="10" t="s">
        <v>80</v>
      </c>
      <c r="B1" s="10" t="s">
        <v>123</v>
      </c>
      <c r="C1" s="10" t="s">
        <v>124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2.5" customHeight="1" x14ac:dyDescent="0.2">
      <c r="A2" s="11">
        <v>1</v>
      </c>
      <c r="B2" s="11" t="s">
        <v>125</v>
      </c>
      <c r="C2" s="11" t="s">
        <v>126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2.5" customHeight="1" x14ac:dyDescent="0.2">
      <c r="A3" s="11">
        <v>2</v>
      </c>
      <c r="B3" s="11" t="s">
        <v>127</v>
      </c>
      <c r="C3" s="11" t="s">
        <v>126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2.5" customHeight="1" x14ac:dyDescent="0.2">
      <c r="A4" s="11">
        <v>3</v>
      </c>
      <c r="B4" s="11" t="s">
        <v>128</v>
      </c>
      <c r="C4" s="11" t="s">
        <v>129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2.5" customHeight="1" x14ac:dyDescent="0.2">
      <c r="A5" s="11">
        <v>4</v>
      </c>
      <c r="B5" s="11" t="s">
        <v>130</v>
      </c>
      <c r="C5" s="11" t="s">
        <v>129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2.5" customHeight="1" x14ac:dyDescent="0.2">
      <c r="A6" s="11">
        <v>5</v>
      </c>
      <c r="B6" s="11" t="s">
        <v>131</v>
      </c>
      <c r="C6" s="11" t="s">
        <v>129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2.5" customHeight="1" x14ac:dyDescent="0.2">
      <c r="A7" s="11">
        <v>6</v>
      </c>
      <c r="B7" s="11" t="s">
        <v>132</v>
      </c>
      <c r="C7" s="11" t="s">
        <v>133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2.5" customHeight="1" x14ac:dyDescent="0.2">
      <c r="A8" s="11">
        <v>7</v>
      </c>
      <c r="B8" s="11" t="s">
        <v>134</v>
      </c>
      <c r="C8" s="11" t="s">
        <v>133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2.5" customHeight="1" x14ac:dyDescent="0.2">
      <c r="A9" s="11">
        <v>8</v>
      </c>
      <c r="B9" s="11" t="s">
        <v>135</v>
      </c>
      <c r="C9" s="11" t="s">
        <v>136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2.5" customHeight="1" x14ac:dyDescent="0.2">
      <c r="A10" s="11">
        <v>9</v>
      </c>
      <c r="B10" s="11" t="s">
        <v>137</v>
      </c>
      <c r="C10" s="11" t="s">
        <v>138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2.5" customHeight="1" x14ac:dyDescent="0.2">
      <c r="A11" s="11">
        <v>10</v>
      </c>
      <c r="B11" s="11" t="s">
        <v>139</v>
      </c>
      <c r="C11" s="11" t="s">
        <v>138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.5703125" customWidth="1"/>
    <col min="2" max="2" width="15.28515625" customWidth="1"/>
    <col min="3" max="3" width="23.42578125" customWidth="1"/>
    <col min="4" max="4" width="16.42578125" customWidth="1"/>
    <col min="5" max="5" width="17.7109375" customWidth="1"/>
  </cols>
  <sheetData>
    <row r="1" spans="1:5" ht="22.5" customHeight="1" x14ac:dyDescent="0.2">
      <c r="A1" s="13" t="s">
        <v>140</v>
      </c>
      <c r="B1" s="13" t="s">
        <v>141</v>
      </c>
      <c r="C1" s="13" t="s">
        <v>116</v>
      </c>
      <c r="D1" s="13" t="s">
        <v>142</v>
      </c>
      <c r="E1" s="13" t="s">
        <v>143</v>
      </c>
    </row>
    <row r="2" spans="1:5" ht="22.5" customHeight="1" x14ac:dyDescent="0.2">
      <c r="A2" s="14" t="s">
        <v>101</v>
      </c>
      <c r="B2" s="14" t="s">
        <v>144</v>
      </c>
      <c r="C2" s="14" t="s">
        <v>117</v>
      </c>
      <c r="D2" s="14" t="s">
        <v>145</v>
      </c>
      <c r="E2" s="14" t="s">
        <v>69</v>
      </c>
    </row>
    <row r="3" spans="1:5" ht="22.5" customHeight="1" x14ac:dyDescent="0.2">
      <c r="A3" s="14" t="s">
        <v>102</v>
      </c>
      <c r="B3" s="14" t="s">
        <v>146</v>
      </c>
      <c r="C3" s="14" t="s">
        <v>113</v>
      </c>
      <c r="D3" s="14" t="s">
        <v>147</v>
      </c>
      <c r="E3" s="14" t="s">
        <v>68</v>
      </c>
    </row>
    <row r="4" spans="1:5" ht="22.5" customHeight="1" x14ac:dyDescent="0.2">
      <c r="A4" s="14" t="s">
        <v>103</v>
      </c>
      <c r="B4" s="14" t="s">
        <v>107</v>
      </c>
      <c r="C4" s="14" t="s">
        <v>113</v>
      </c>
      <c r="D4" s="14" t="s">
        <v>147</v>
      </c>
      <c r="E4" s="14" t="s">
        <v>69</v>
      </c>
    </row>
    <row r="5" spans="1:5" ht="22.5" customHeight="1" x14ac:dyDescent="0.2">
      <c r="A5" s="14" t="s">
        <v>148</v>
      </c>
      <c r="B5" s="14" t="s">
        <v>149</v>
      </c>
      <c r="C5" s="14" t="s">
        <v>114</v>
      </c>
      <c r="D5" s="14" t="s">
        <v>150</v>
      </c>
      <c r="E5" s="14" t="s">
        <v>69</v>
      </c>
    </row>
    <row r="6" spans="1:5" ht="22.5" customHeight="1" x14ac:dyDescent="0.2">
      <c r="A6" s="14" t="s">
        <v>151</v>
      </c>
      <c r="B6" s="14" t="s">
        <v>152</v>
      </c>
      <c r="C6" s="14" t="s">
        <v>114</v>
      </c>
      <c r="D6" s="14" t="s">
        <v>153</v>
      </c>
      <c r="E6" s="14" t="s">
        <v>154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4.42578125" customWidth="1"/>
    <col min="2" max="2" width="35.140625" customWidth="1"/>
    <col min="3" max="3" width="29.5703125" customWidth="1"/>
  </cols>
  <sheetData>
    <row r="1" spans="1:3" ht="22.5" customHeight="1" x14ac:dyDescent="0.2">
      <c r="A1" s="13" t="s">
        <v>155</v>
      </c>
      <c r="B1" s="13" t="s">
        <v>156</v>
      </c>
      <c r="C1" s="13" t="s">
        <v>157</v>
      </c>
    </row>
    <row r="2" spans="1:3" ht="22.5" customHeight="1" x14ac:dyDescent="0.2">
      <c r="A2" s="14" t="s">
        <v>158</v>
      </c>
      <c r="B2" s="14" t="s">
        <v>159</v>
      </c>
      <c r="C2" s="14" t="s">
        <v>159</v>
      </c>
    </row>
    <row r="3" spans="1:3" ht="22.5" customHeight="1" x14ac:dyDescent="0.2">
      <c r="A3" s="14" t="s">
        <v>160</v>
      </c>
      <c r="B3" s="14" t="s">
        <v>161</v>
      </c>
      <c r="C3" s="14" t="s">
        <v>162</v>
      </c>
    </row>
    <row r="4" spans="1:3" ht="22.5" customHeight="1" x14ac:dyDescent="0.2">
      <c r="A4" s="14" t="s">
        <v>163</v>
      </c>
      <c r="B4" s="14" t="s">
        <v>164</v>
      </c>
      <c r="C4" s="14" t="s">
        <v>165</v>
      </c>
    </row>
    <row r="5" spans="1:3" ht="22.5" customHeight="1" x14ac:dyDescent="0.2">
      <c r="A5" s="14" t="s">
        <v>166</v>
      </c>
      <c r="B5" s="14" t="s">
        <v>167</v>
      </c>
      <c r="C5" s="14" t="s">
        <v>168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6.140625" customWidth="1"/>
    <col min="2" max="2" width="12.7109375" customWidth="1"/>
  </cols>
  <sheetData>
    <row r="1" spans="1:2" ht="22.5" customHeight="1" x14ac:dyDescent="0.2">
      <c r="A1" s="13" t="s">
        <v>169</v>
      </c>
      <c r="B1" s="13" t="s">
        <v>170</v>
      </c>
    </row>
    <row r="2" spans="1:2" ht="22.5" customHeight="1" x14ac:dyDescent="0.2">
      <c r="A2" s="14" t="s">
        <v>171</v>
      </c>
      <c r="B2" s="14" t="s">
        <v>172</v>
      </c>
    </row>
    <row r="3" spans="1:2" ht="22.5" customHeight="1" x14ac:dyDescent="0.2">
      <c r="A3" s="14" t="s">
        <v>173</v>
      </c>
      <c r="B3" s="14" t="s">
        <v>174</v>
      </c>
    </row>
    <row r="4" spans="1:2" ht="22.5" customHeight="1" x14ac:dyDescent="0.2">
      <c r="A4" s="14" t="s">
        <v>175</v>
      </c>
      <c r="B4" s="14" t="s">
        <v>174</v>
      </c>
    </row>
    <row r="5" spans="1:2" ht="22.5" customHeight="1" x14ac:dyDescent="0.2">
      <c r="A5" s="14" t="s">
        <v>176</v>
      </c>
      <c r="B5" s="14" t="s">
        <v>172</v>
      </c>
    </row>
    <row r="6" spans="1:2" ht="22.5" customHeight="1" x14ac:dyDescent="0.2">
      <c r="A6" s="14" t="s">
        <v>177</v>
      </c>
      <c r="B6" s="14" t="s">
        <v>172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37.5703125" customWidth="1"/>
  </cols>
  <sheetData>
    <row r="1" spans="1:2" ht="22.5" customHeight="1" x14ac:dyDescent="0.2">
      <c r="A1" s="13" t="s">
        <v>169</v>
      </c>
      <c r="B1" s="13" t="s">
        <v>170</v>
      </c>
    </row>
    <row r="2" spans="1:2" ht="22.5" customHeight="1" x14ac:dyDescent="0.2">
      <c r="A2" s="14" t="s">
        <v>178</v>
      </c>
      <c r="B2" s="14" t="s">
        <v>172</v>
      </c>
    </row>
    <row r="3" spans="1:2" ht="22.5" customHeight="1" x14ac:dyDescent="0.2">
      <c r="A3" s="14" t="s">
        <v>179</v>
      </c>
      <c r="B3" s="14" t="s">
        <v>180</v>
      </c>
    </row>
    <row r="4" spans="1:2" ht="22.5" customHeight="1" x14ac:dyDescent="0.2">
      <c r="A4" s="14" t="s">
        <v>181</v>
      </c>
      <c r="B4" s="14" t="s">
        <v>182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7.5703125" customWidth="1"/>
  </cols>
  <sheetData>
    <row r="1" spans="1:2" ht="22.5" customHeight="1" x14ac:dyDescent="0.2">
      <c r="A1" s="13" t="s">
        <v>169</v>
      </c>
      <c r="B1" s="13" t="s">
        <v>170</v>
      </c>
    </row>
    <row r="2" spans="1:2" ht="22.5" customHeight="1" x14ac:dyDescent="0.2">
      <c r="A2" s="14" t="s">
        <v>183</v>
      </c>
      <c r="B2" s="14" t="s">
        <v>172</v>
      </c>
    </row>
    <row r="3" spans="1:2" ht="22.5" customHeight="1" x14ac:dyDescent="0.2">
      <c r="A3" s="14" t="s">
        <v>184</v>
      </c>
      <c r="B3" s="14" t="s">
        <v>172</v>
      </c>
    </row>
    <row r="4" spans="1:2" ht="22.5" customHeight="1" x14ac:dyDescent="0.2">
      <c r="A4" s="14" t="s">
        <v>185</v>
      </c>
    </row>
    <row r="5" spans="1:2" ht="22.5" customHeight="1" x14ac:dyDescent="0.2">
      <c r="A5" s="14" t="s">
        <v>186</v>
      </c>
    </row>
    <row r="6" spans="1:2" ht="22.5" customHeight="1" x14ac:dyDescent="0.2">
      <c r="A6" s="14" t="s">
        <v>187</v>
      </c>
      <c r="B6" s="14" t="s">
        <v>172</v>
      </c>
    </row>
    <row r="7" spans="1:2" ht="22.5" customHeight="1" x14ac:dyDescent="0.2">
      <c r="A7" s="14" t="s">
        <v>188</v>
      </c>
    </row>
    <row r="8" spans="1:2" ht="22.5" customHeight="1" x14ac:dyDescent="0.2">
      <c r="A8" s="14" t="s">
        <v>189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0" customWidth="1"/>
    <col min="2" max="2" width="14" customWidth="1"/>
  </cols>
  <sheetData>
    <row r="1" spans="1:2" ht="22.5" customHeight="1" x14ac:dyDescent="0.2">
      <c r="A1" s="13" t="s">
        <v>169</v>
      </c>
      <c r="B1" s="13" t="s">
        <v>170</v>
      </c>
    </row>
    <row r="2" spans="1:2" ht="22.5" customHeight="1" x14ac:dyDescent="0.2">
      <c r="A2" s="14" t="s">
        <v>190</v>
      </c>
      <c r="B2" s="14" t="s">
        <v>191</v>
      </c>
    </row>
    <row r="3" spans="1:2" ht="22.5" customHeight="1" x14ac:dyDescent="0.2">
      <c r="A3" s="14" t="s">
        <v>192</v>
      </c>
      <c r="B3" s="14" t="s">
        <v>193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4" max="4" width="16.5703125" customWidth="1"/>
    <col min="5" max="5" width="16.42578125" customWidth="1"/>
    <col min="6" max="6" width="13.5703125" customWidth="1"/>
    <col min="7" max="7" width="14.42578125" customWidth="1"/>
    <col min="9" max="9" width="21.42578125" customWidth="1"/>
  </cols>
  <sheetData>
    <row r="1" spans="1:10" ht="22.5" customHeight="1" x14ac:dyDescent="0.2">
      <c r="A1" s="13" t="s">
        <v>80</v>
      </c>
      <c r="B1" s="13" t="s">
        <v>194</v>
      </c>
      <c r="C1" s="13" t="s">
        <v>195</v>
      </c>
      <c r="D1" s="13" t="s">
        <v>196</v>
      </c>
      <c r="E1" s="13" t="s">
        <v>197</v>
      </c>
      <c r="F1" s="13" t="s">
        <v>198</v>
      </c>
      <c r="G1" s="13" t="s">
        <v>199</v>
      </c>
      <c r="H1" s="13" t="s">
        <v>200</v>
      </c>
      <c r="I1" s="13" t="s">
        <v>201</v>
      </c>
      <c r="J1" s="13" t="s">
        <v>202</v>
      </c>
    </row>
    <row r="2" spans="1:10" ht="22.5" customHeight="1" x14ac:dyDescent="0.2">
      <c r="A2" s="14">
        <v>1</v>
      </c>
      <c r="B2" s="14">
        <v>781</v>
      </c>
      <c r="C2" s="14">
        <v>5591</v>
      </c>
      <c r="D2" s="14" t="s">
        <v>203</v>
      </c>
      <c r="E2" s="14" t="s">
        <v>204</v>
      </c>
      <c r="F2" s="14" t="s">
        <v>205</v>
      </c>
      <c r="G2" s="14" t="s">
        <v>206</v>
      </c>
      <c r="H2" s="14" t="s">
        <v>207</v>
      </c>
      <c r="I2" s="14" t="s">
        <v>208</v>
      </c>
      <c r="J2" s="14" t="s">
        <v>209</v>
      </c>
    </row>
    <row r="3" spans="1:10" ht="22.5" customHeight="1" x14ac:dyDescent="0.2">
      <c r="A3" s="14">
        <v>2</v>
      </c>
      <c r="B3" s="14">
        <v>951</v>
      </c>
      <c r="C3" s="14">
        <v>1666</v>
      </c>
      <c r="D3" s="14" t="s">
        <v>210</v>
      </c>
      <c r="E3" s="14" t="s">
        <v>211</v>
      </c>
      <c r="F3" s="14" t="s">
        <v>212</v>
      </c>
      <c r="G3" s="14" t="s">
        <v>213</v>
      </c>
      <c r="H3" s="14" t="s">
        <v>214</v>
      </c>
      <c r="I3" s="14" t="s">
        <v>215</v>
      </c>
      <c r="J3" s="14" t="s">
        <v>209</v>
      </c>
    </row>
    <row r="4" spans="1:10" ht="22.5" customHeight="1" x14ac:dyDescent="0.2">
      <c r="A4" s="14">
        <v>3</v>
      </c>
      <c r="B4" s="14">
        <v>8564</v>
      </c>
      <c r="C4" s="14">
        <v>1000</v>
      </c>
      <c r="D4" s="14" t="s">
        <v>216</v>
      </c>
      <c r="E4" s="14" t="s">
        <v>217</v>
      </c>
      <c r="F4" s="14" t="s">
        <v>218</v>
      </c>
      <c r="G4" s="14" t="s">
        <v>219</v>
      </c>
      <c r="H4" s="14" t="s">
        <v>220</v>
      </c>
      <c r="I4" s="14" t="s">
        <v>221</v>
      </c>
      <c r="J4" s="14" t="s">
        <v>222</v>
      </c>
    </row>
    <row r="5" spans="1:10" ht="22.5" customHeight="1" x14ac:dyDescent="0.2">
      <c r="A5" s="14">
        <v>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7"/>
  <sheetViews>
    <sheetView workbookViewId="0">
      <pane ySplit="1" topLeftCell="A2" activePane="bottomLeft" state="frozen"/>
      <selection pane="bottomLeft" activeCell="E25" sqref="E25"/>
    </sheetView>
  </sheetViews>
  <sheetFormatPr defaultColWidth="12.5703125" defaultRowHeight="15.75" customHeight="1" x14ac:dyDescent="0.2"/>
  <cols>
    <col min="1" max="1" width="6.85546875" customWidth="1"/>
    <col min="2" max="2" width="58" customWidth="1"/>
    <col min="3" max="3" width="14.28515625" customWidth="1"/>
  </cols>
  <sheetData>
    <row r="1" spans="1:5" ht="22.5" customHeight="1" x14ac:dyDescent="0.2">
      <c r="A1" s="13" t="s">
        <v>80</v>
      </c>
      <c r="B1" s="13" t="s">
        <v>223</v>
      </c>
      <c r="C1" s="13" t="s">
        <v>224</v>
      </c>
    </row>
    <row r="2" spans="1:5" ht="22.5" customHeight="1" x14ac:dyDescent="0.2">
      <c r="A2" s="14">
        <v>1.1000000000000001</v>
      </c>
      <c r="B2" s="14" t="s">
        <v>225</v>
      </c>
      <c r="C2" s="14" t="s">
        <v>226</v>
      </c>
    </row>
    <row r="3" spans="1:5" ht="22.5" customHeight="1" x14ac:dyDescent="0.2">
      <c r="A3" s="14">
        <v>1.2</v>
      </c>
      <c r="B3" s="14" t="s">
        <v>227</v>
      </c>
      <c r="C3" s="14" t="s">
        <v>228</v>
      </c>
    </row>
    <row r="4" spans="1:5" ht="22.5" customHeight="1" x14ac:dyDescent="0.2">
      <c r="A4" s="14">
        <v>1.3</v>
      </c>
      <c r="B4" s="14" t="s">
        <v>229</v>
      </c>
      <c r="C4" s="14" t="s">
        <v>226</v>
      </c>
      <c r="E4" s="15"/>
    </row>
    <row r="5" spans="1:5" ht="22.5" customHeight="1" x14ac:dyDescent="0.2">
      <c r="A5" s="14">
        <v>1.4</v>
      </c>
      <c r="B5" s="14" t="s">
        <v>230</v>
      </c>
      <c r="C5" s="14" t="s">
        <v>226</v>
      </c>
      <c r="E5" s="15"/>
    </row>
    <row r="6" spans="1:5" ht="22.5" customHeight="1" x14ac:dyDescent="0.2">
      <c r="A6" s="14">
        <v>1.5</v>
      </c>
      <c r="B6" s="14" t="s">
        <v>231</v>
      </c>
      <c r="C6" s="14" t="s">
        <v>226</v>
      </c>
      <c r="E6" s="15"/>
    </row>
    <row r="7" spans="1:5" ht="12.75" x14ac:dyDescent="0.2">
      <c r="E7" s="15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6"/>
  <sheetViews>
    <sheetView workbookViewId="0">
      <pane ySplit="1" topLeftCell="A2" activePane="bottomLeft" state="frozen"/>
      <selection pane="bottomLeft" activeCell="B28" sqref="B28"/>
    </sheetView>
  </sheetViews>
  <sheetFormatPr defaultColWidth="12.5703125" defaultRowHeight="15.75" customHeight="1" x14ac:dyDescent="0.2"/>
  <cols>
    <col min="1" max="1" width="4.85546875" customWidth="1"/>
    <col min="2" max="2" width="44" customWidth="1"/>
    <col min="3" max="3" width="14.28515625" customWidth="1"/>
  </cols>
  <sheetData>
    <row r="1" spans="1:3" ht="22.5" customHeight="1" x14ac:dyDescent="0.2">
      <c r="A1" s="10" t="s">
        <v>80</v>
      </c>
      <c r="B1" s="10" t="s">
        <v>223</v>
      </c>
      <c r="C1" s="10" t="s">
        <v>224</v>
      </c>
    </row>
    <row r="2" spans="1:3" ht="22.5" customHeight="1" x14ac:dyDescent="0.2">
      <c r="A2" s="11">
        <v>2.1</v>
      </c>
      <c r="B2" s="11" t="s">
        <v>232</v>
      </c>
      <c r="C2" s="11" t="s">
        <v>226</v>
      </c>
    </row>
    <row r="3" spans="1:3" ht="22.5" customHeight="1" x14ac:dyDescent="0.2">
      <c r="A3" s="11">
        <v>2.2000000000000002</v>
      </c>
      <c r="B3" s="11" t="s">
        <v>227</v>
      </c>
      <c r="C3" s="11" t="s">
        <v>226</v>
      </c>
    </row>
    <row r="4" spans="1:3" ht="22.5" customHeight="1" x14ac:dyDescent="0.2">
      <c r="A4" s="11">
        <v>2.2999999999999998</v>
      </c>
      <c r="B4" s="11" t="s">
        <v>233</v>
      </c>
      <c r="C4" s="11" t="s">
        <v>226</v>
      </c>
    </row>
    <row r="5" spans="1:3" ht="22.5" customHeight="1" x14ac:dyDescent="0.2">
      <c r="A5" s="11">
        <v>2.4</v>
      </c>
      <c r="B5" s="11" t="s">
        <v>234</v>
      </c>
      <c r="C5" s="11" t="s">
        <v>226</v>
      </c>
    </row>
    <row r="6" spans="1:3" ht="22.5" customHeight="1" x14ac:dyDescent="0.2">
      <c r="A6" s="11">
        <v>2.5</v>
      </c>
      <c r="B6" s="11" t="s">
        <v>235</v>
      </c>
      <c r="C6" s="11" t="s">
        <v>226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7"/>
  <sheetViews>
    <sheetView workbookViewId="0">
      <pane ySplit="1" topLeftCell="A4" activePane="bottomLeft" state="frozen"/>
      <selection pane="bottomLeft" activeCell="F12" sqref="F12"/>
    </sheetView>
  </sheetViews>
  <sheetFormatPr defaultColWidth="12.5703125" defaultRowHeight="15.75" customHeight="1" x14ac:dyDescent="0.2"/>
  <cols>
    <col min="1" max="1" width="5.140625" customWidth="1"/>
    <col min="2" max="2" width="45.140625" customWidth="1"/>
    <col min="3" max="3" width="14.28515625" customWidth="1"/>
  </cols>
  <sheetData>
    <row r="1" spans="1:3" ht="22.5" customHeight="1" x14ac:dyDescent="0.2">
      <c r="A1" s="10" t="s">
        <v>80</v>
      </c>
      <c r="B1" s="10" t="s">
        <v>223</v>
      </c>
      <c r="C1" s="10" t="s">
        <v>224</v>
      </c>
    </row>
    <row r="2" spans="1:3" ht="22.5" customHeight="1" x14ac:dyDescent="0.2">
      <c r="A2" s="11">
        <v>3.1</v>
      </c>
      <c r="B2" s="11" t="s">
        <v>225</v>
      </c>
      <c r="C2" s="11" t="s">
        <v>226</v>
      </c>
    </row>
    <row r="3" spans="1:3" ht="22.5" customHeight="1" x14ac:dyDescent="0.2">
      <c r="A3" s="11">
        <v>3.2</v>
      </c>
      <c r="B3" s="11" t="s">
        <v>236</v>
      </c>
      <c r="C3" s="11" t="s">
        <v>226</v>
      </c>
    </row>
    <row r="4" spans="1:3" ht="22.5" customHeight="1" x14ac:dyDescent="0.2">
      <c r="A4" s="11">
        <v>3.3</v>
      </c>
      <c r="B4" s="11" t="s">
        <v>237</v>
      </c>
      <c r="C4" s="11" t="s">
        <v>226</v>
      </c>
    </row>
    <row r="5" spans="1:3" ht="22.5" customHeight="1" x14ac:dyDescent="0.2">
      <c r="A5" s="11">
        <v>3.4</v>
      </c>
      <c r="B5" s="11" t="s">
        <v>238</v>
      </c>
      <c r="C5" s="11" t="s">
        <v>226</v>
      </c>
    </row>
    <row r="6" spans="1:3" ht="22.5" customHeight="1" x14ac:dyDescent="0.2">
      <c r="A6" s="11">
        <v>3.5</v>
      </c>
      <c r="B6" s="11" t="s">
        <v>239</v>
      </c>
      <c r="C6" s="11" t="s">
        <v>226</v>
      </c>
    </row>
    <row r="7" spans="1:3" ht="22.5" customHeight="1" x14ac:dyDescent="0.2">
      <c r="A7" s="11">
        <v>3.6</v>
      </c>
      <c r="B7" s="11" t="s">
        <v>240</v>
      </c>
      <c r="C7" s="11" t="s">
        <v>226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D7"/>
  <sheetViews>
    <sheetView tabSelected="1" workbookViewId="0">
      <pane ySplit="1" topLeftCell="A2" activePane="bottomLeft" state="frozen"/>
      <selection pane="bottomLeft" activeCell="K11" sqref="K11"/>
    </sheetView>
  </sheetViews>
  <sheetFormatPr defaultColWidth="12.5703125" defaultRowHeight="15.75" customHeight="1" x14ac:dyDescent="0.2"/>
  <cols>
    <col min="1" max="1" width="15.7109375" customWidth="1"/>
    <col min="2" max="2" width="18.5703125" customWidth="1"/>
    <col min="3" max="3" width="19.140625" customWidth="1"/>
    <col min="4" max="4" width="20.42578125" customWidth="1"/>
  </cols>
  <sheetData>
    <row r="1" spans="1:4" ht="22.5" customHeight="1" x14ac:dyDescent="0.2">
      <c r="A1" s="13" t="s">
        <v>241</v>
      </c>
      <c r="B1" s="13" t="s">
        <v>242</v>
      </c>
      <c r="C1" s="13" t="s">
        <v>243</v>
      </c>
      <c r="D1" s="13" t="s">
        <v>244</v>
      </c>
    </row>
    <row r="2" spans="1:4" ht="22.5" customHeight="1" x14ac:dyDescent="0.2">
      <c r="A2" s="11" t="s">
        <v>245</v>
      </c>
      <c r="B2" s="11" t="s">
        <v>246</v>
      </c>
      <c r="C2" s="11" t="s">
        <v>90</v>
      </c>
      <c r="D2" s="11" t="s">
        <v>247</v>
      </c>
    </row>
    <row r="3" spans="1:4" ht="22.5" customHeight="1" x14ac:dyDescent="0.2">
      <c r="A3" s="11" t="s">
        <v>248</v>
      </c>
      <c r="B3" s="11" t="s">
        <v>249</v>
      </c>
      <c r="C3" s="11" t="s">
        <v>250</v>
      </c>
      <c r="D3" s="11" t="s">
        <v>251</v>
      </c>
    </row>
    <row r="4" spans="1:4" ht="22.5" customHeight="1" x14ac:dyDescent="0.2">
      <c r="A4" s="11" t="s">
        <v>252</v>
      </c>
      <c r="B4" s="11" t="s">
        <v>253</v>
      </c>
      <c r="C4" s="11" t="s">
        <v>253</v>
      </c>
      <c r="D4" s="11" t="s">
        <v>254</v>
      </c>
    </row>
    <row r="5" spans="1:4" ht="22.5" customHeight="1" x14ac:dyDescent="0.2">
      <c r="A5" s="11" t="s">
        <v>142</v>
      </c>
      <c r="B5" s="11" t="s">
        <v>42</v>
      </c>
      <c r="C5" s="11" t="s">
        <v>255</v>
      </c>
      <c r="D5" s="11" t="s">
        <v>256</v>
      </c>
    </row>
    <row r="6" spans="1:4" ht="22.5" customHeight="1" x14ac:dyDescent="0.2">
      <c r="A6" s="11" t="s">
        <v>257</v>
      </c>
      <c r="B6" s="11" t="s">
        <v>26</v>
      </c>
      <c r="C6" s="11" t="s">
        <v>69</v>
      </c>
      <c r="D6" s="11" t="s">
        <v>258</v>
      </c>
    </row>
    <row r="7" spans="1:4" ht="22.5" customHeight="1" x14ac:dyDescent="0.2">
      <c r="A7" s="11" t="s">
        <v>259</v>
      </c>
      <c r="B7" s="11" t="s">
        <v>260</v>
      </c>
      <c r="C7" s="11" t="s">
        <v>261</v>
      </c>
      <c r="D7" s="11" t="s">
        <v>262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price vs. speed</vt:lpstr>
      <vt:lpstr>table1</vt:lpstr>
      <vt:lpstr>table2</vt:lpstr>
      <vt:lpstr>table3</vt:lpstr>
      <vt:lpstr>table4</vt:lpstr>
      <vt:lpstr>table5</vt:lpstr>
      <vt:lpstr>table6</vt:lpstr>
      <vt:lpstr>table7</vt:lpstr>
      <vt:lpstr>pril_b1</vt:lpstr>
      <vt:lpstr>pril_b2</vt:lpstr>
      <vt:lpstr>pril_b3</vt:lpstr>
      <vt:lpstr>pril_b4</vt:lpstr>
      <vt:lpstr>pril_v</vt:lpstr>
      <vt:lpstr>pril_g1</vt:lpstr>
      <vt:lpstr>pril_g2</vt:lpstr>
      <vt:lpstr>pril_g3</vt:lpstr>
      <vt:lpstr>izbor_nivo_iztrivane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 Isaev</cp:lastModifiedBy>
  <dcterms:modified xsi:type="dcterms:W3CDTF">2026-03-25T21:58:39Z</dcterms:modified>
</cp:coreProperties>
</file>